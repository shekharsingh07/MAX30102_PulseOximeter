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khar\Desktop\Thesis\Pulse Oximeter PCB\3_Schematic\1_Schematics\1_MAX30102\MAX30102_Pulse Ox\Gerber_2\"/>
    </mc:Choice>
  </mc:AlternateContent>
  <xr:revisionPtr revIDLastSave="0" documentId="13_ncr:1_{D16BFFF4-C9C8-4006-96B7-18E2F5C16702}" xr6:coauthVersionLast="45" xr6:coauthVersionMax="45" xr10:uidLastSave="{00000000-0000-0000-0000-000000000000}"/>
  <bookViews>
    <workbookView xWindow="345" yWindow="345" windowWidth="10245" windowHeight="11070" xr2:uid="{00000000-000D-0000-FFFF-FFFF00000000}"/>
  </bookViews>
  <sheets>
    <sheet name="MAX30102_Pulse Oxime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3" i="1" l="1"/>
  <c r="K10" i="1"/>
  <c r="J21" i="1" l="1"/>
  <c r="K9" i="1"/>
  <c r="I2" i="1"/>
  <c r="K2" i="1" s="1"/>
  <c r="I3" i="1"/>
  <c r="K3" i="1" s="1"/>
  <c r="I4" i="1"/>
  <c r="K4" i="1" s="1"/>
  <c r="I5" i="1"/>
  <c r="K5" i="1" s="1"/>
  <c r="I6" i="1"/>
  <c r="K6" i="1" s="1"/>
  <c r="I7" i="1"/>
  <c r="K7" i="1" s="1"/>
  <c r="I8" i="1"/>
  <c r="I11" i="1"/>
  <c r="K11" i="1" s="1"/>
  <c r="I12" i="1"/>
  <c r="K12" i="1" s="1"/>
  <c r="I13" i="1"/>
  <c r="I14" i="1"/>
  <c r="K14" i="1" s="1"/>
  <c r="I15" i="1"/>
  <c r="K15" i="1" s="1"/>
  <c r="I16" i="1"/>
  <c r="I17" i="1"/>
  <c r="I18" i="1"/>
  <c r="I19" i="1"/>
  <c r="K19" i="1" s="1"/>
  <c r="I21" i="1" l="1"/>
  <c r="K21" i="1"/>
</calcChain>
</file>

<file path=xl/sharedStrings.xml><?xml version="1.0" encoding="utf-8"?>
<sst xmlns="http://schemas.openxmlformats.org/spreadsheetml/2006/main" count="120" uniqueCount="93">
  <si>
    <t>Id</t>
  </si>
  <si>
    <t>Designator</t>
  </si>
  <si>
    <t>Package</t>
  </si>
  <si>
    <t>Quantity</t>
  </si>
  <si>
    <t>Designation</t>
  </si>
  <si>
    <t>C1,C4,C5</t>
  </si>
  <si>
    <t>C_0603_1608Metric</t>
  </si>
  <si>
    <t>4.7uF</t>
  </si>
  <si>
    <t>C2,C3</t>
  </si>
  <si>
    <t>1uF</t>
  </si>
  <si>
    <t>C6</t>
  </si>
  <si>
    <t>10uF</t>
  </si>
  <si>
    <t>C7,C8</t>
  </si>
  <si>
    <t>0.1uF</t>
  </si>
  <si>
    <t>D1</t>
  </si>
  <si>
    <t>LED_0603_1608Metric</t>
  </si>
  <si>
    <t>RED</t>
  </si>
  <si>
    <t>D4,D5,D6</t>
  </si>
  <si>
    <t>F1</t>
  </si>
  <si>
    <t>C2Q250</t>
  </si>
  <si>
    <t>250mA</t>
  </si>
  <si>
    <t>IC1</t>
  </si>
  <si>
    <t>STM32G0_UFQFPN28_T1</t>
  </si>
  <si>
    <t>STM32G071G8U6</t>
  </si>
  <si>
    <t>J1</t>
  </si>
  <si>
    <t>USB_Micro-B_Molex_47346-0001</t>
  </si>
  <si>
    <t>USB_B_Micro</t>
  </si>
  <si>
    <t>R1,R2,R4,R15,R16,R17,R18,R19,R21</t>
  </si>
  <si>
    <t>R_0603_1608Metric</t>
  </si>
  <si>
    <t>R3,R5,R6</t>
  </si>
  <si>
    <t>R7,R8,R9,R10,R11,R12,R13,R14,R23,R24,R25,R26</t>
  </si>
  <si>
    <t>SW1,SW2</t>
  </si>
  <si>
    <t>SW_SPST_B3U-1000P</t>
  </si>
  <si>
    <t>SW_Push</t>
  </si>
  <si>
    <t>U1</t>
  </si>
  <si>
    <t>MCP73811T-420I&amp;slash_OT</t>
  </si>
  <si>
    <t>MCP73811T-420I_OT</t>
  </si>
  <si>
    <t>U2</t>
  </si>
  <si>
    <t>MIC94310-GYM5-SOT-753</t>
  </si>
  <si>
    <t>MIC94310</t>
  </si>
  <si>
    <t>U3</t>
  </si>
  <si>
    <t>MAX30102EFD&amp;plus_</t>
  </si>
  <si>
    <t>MAX30102EFD+</t>
  </si>
  <si>
    <t>U4</t>
  </si>
  <si>
    <t>SON127P500X600X60-9N</t>
  </si>
  <si>
    <t>AT45DB081E-MHN-Y</t>
  </si>
  <si>
    <t>U5,U6</t>
  </si>
  <si>
    <t>MMBT3906-7-F</t>
  </si>
  <si>
    <t>Reference</t>
  </si>
  <si>
    <t>Supplier</t>
  </si>
  <si>
    <t>Total Components</t>
  </si>
  <si>
    <t>Unit Price ($)</t>
  </si>
  <si>
    <t>Price ($)</t>
  </si>
  <si>
    <t>Digi-Key</t>
  </si>
  <si>
    <t>0 ohm</t>
  </si>
  <si>
    <t>1.8K [ohm]</t>
  </si>
  <si>
    <t>10K [ohm]</t>
  </si>
  <si>
    <t>Part No.</t>
  </si>
  <si>
    <t>Total</t>
  </si>
  <si>
    <t>1276-1045-1-ND</t>
  </si>
  <si>
    <t>1276-1945-1-ND</t>
  </si>
  <si>
    <t>1276-1119-1-ND</t>
  </si>
  <si>
    <t>1276-1935-1-ND</t>
  </si>
  <si>
    <t>732-4978-1-ND</t>
  </si>
  <si>
    <t>507-1086-1-ND</t>
  </si>
  <si>
    <t>RMCF0603JT1K80CT-ND</t>
  </si>
  <si>
    <t>RMCF0603JT10K0CT-ND</t>
  </si>
  <si>
    <t>RMCF0603ZT0R00CT-ND</t>
  </si>
  <si>
    <t>SW1020CT-ND</t>
  </si>
  <si>
    <t>MCP73811T-420I/OTCT-ND</t>
  </si>
  <si>
    <t>MMBT3906-FDICT-ND</t>
  </si>
  <si>
    <t>576-4769-1-ND</t>
  </si>
  <si>
    <t>1265-1110-ND</t>
  </si>
  <si>
    <t>497-STM32G071G8U6-ND</t>
  </si>
  <si>
    <t>https://www.digikey.com/products/en?keywords=1276-1045-1-ND</t>
  </si>
  <si>
    <t>https://www.digikey.com/products/en?keywords=1276-1945-1-ND</t>
  </si>
  <si>
    <t>https://www.digikey.com/products/en?keywords=1276-1119-1-ND</t>
  </si>
  <si>
    <t>https://www.digikey.com/products/en?keywords=1276-1935-1-ND</t>
  </si>
  <si>
    <t>https://www.digikey.com/products/en?keywords=732-4978-1-ND</t>
  </si>
  <si>
    <t>https://www.digikey.com/products/en?keywords=507-1086-1-ND</t>
  </si>
  <si>
    <t>https://www.digikey.com/products/en?keywords=497-STM32G071G8U6-ND</t>
  </si>
  <si>
    <t>609-4613-2-ND</t>
  </si>
  <si>
    <t>https://www.digikey.com/products/en?keywords=609-4613-2-ND</t>
  </si>
  <si>
    <t>https://www.digikey.com/products/en?keywords=RMCF0603JT1K80CT-ND</t>
  </si>
  <si>
    <t>https://www.digikey.com/products/en?keywords=RMCF0603JT10K0CT-ND</t>
  </si>
  <si>
    <t>https://www.digikey.com/products/en?keywords=RMCF0603ZT0R00CT-ND</t>
  </si>
  <si>
    <t>https://www.digikey.com/products/en?keywords=SW1020CT-ND</t>
  </si>
  <si>
    <t>https://www.digikey.com/products/en?keywords=MCP73811T-420I%2FOTCT-ND</t>
  </si>
  <si>
    <t>https://www.digikey.com/products/en?keywords=576-4769-1-ND</t>
  </si>
  <si>
    <t>https://www.digikey.com/products/en?keywords=MAX30102EFD%2B-ND</t>
  </si>
  <si>
    <t>MAX30102EFD+-ND</t>
  </si>
  <si>
    <t>https://www.digikey.com/products/en?keywords=1265-1110-ND</t>
  </si>
  <si>
    <t>https://www.digikey.com/products/en?keywords=MMBT3906-FDICT-ND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</si>
</sst>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color rgb="FF333333"/>
      <name val="Arial"/>
      <family val="2"/>
    </font>
    <font>
      <sz val="9"/>
      <color rgb="FF333333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18" fillId="0" borderId="0" xfId="42"/>
    <xf numFmtId="0" fontId="16" fillId="0" borderId="0" xfId="0" applyFont="1"/>
    <xf numFmtId="0" fontId="19" fillId="0" borderId="0" xfId="42" applyFont="1"/>
    <xf numFmtId="0" fontId="19" fillId="0" borderId="0" xfId="0" applyFont="1"/>
    <xf numFmtId="0" fontId="20" fillId="0" borderId="0" xfId="0" applyFont="1"/>
    <xf numFmtId="0" fontId="19" fillId="0" borderId="0" xfId="42" applyFont="1" applyFill="1"/>
    <xf numFmtId="0" fontId="0" fillId="0" borderId="0" xfId="0" applyFill="1"/>
    <xf numFmtId="0" fontId="19" fillId="0" borderId="0" xfId="0" applyFont="1" applyFill="1"/>
    <xf numFmtId="0" fontId="18" fillId="0" borderId="0" xfId="42" applyFill="1"/>
    <xf numFmtId="0" fontId="21" fillId="0" borderId="0" xfId="0" applyFont="1"/>
    <xf numFmtId="0" fontId="0" fillId="0" borderId="10" xfId="0" applyBorder="1"/>
    <xf numFmtId="0" fontId="16" fillId="0" borderId="11" xfId="0" applyFont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products/en?keywords=609-4613-2-ND" TargetMode="External"/><Relationship Id="rId1" Type="http://schemas.openxmlformats.org/officeDocument/2006/relationships/hyperlink" Target="https://www.digikey.com/products/en?keywords=1276-1045-1-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"/>
  <sheetViews>
    <sheetView tabSelected="1" zoomScale="55" zoomScaleNormal="55" workbookViewId="0">
      <selection activeCell="F5" sqref="F2:H5"/>
    </sheetView>
  </sheetViews>
  <sheetFormatPr defaultRowHeight="15" x14ac:dyDescent="0.25"/>
  <cols>
    <col min="2" max="2" width="43.140625" bestFit="1" customWidth="1"/>
    <col min="3" max="3" width="30.28515625" bestFit="1" customWidth="1"/>
    <col min="5" max="5" width="19" bestFit="1" customWidth="1"/>
    <col min="6" max="6" width="8.42578125" bestFit="1" customWidth="1"/>
    <col min="7" max="7" width="16" customWidth="1"/>
    <col min="8" max="8" width="29.42578125" bestFit="1" customWidth="1"/>
    <col min="9" max="9" width="17.42578125" bestFit="1" customWidth="1"/>
  </cols>
  <sheetData>
    <row r="1" spans="1:12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49</v>
      </c>
      <c r="G1" s="2" t="s">
        <v>48</v>
      </c>
      <c r="H1" s="2" t="s">
        <v>57</v>
      </c>
      <c r="I1" s="2" t="s">
        <v>50</v>
      </c>
      <c r="J1" s="2" t="s">
        <v>51</v>
      </c>
      <c r="K1" s="2" t="s">
        <v>52</v>
      </c>
    </row>
    <row r="2" spans="1:12" x14ac:dyDescent="0.25">
      <c r="A2">
        <v>2</v>
      </c>
      <c r="B2" t="s">
        <v>5</v>
      </c>
      <c r="C2" t="s">
        <v>6</v>
      </c>
      <c r="D2">
        <v>3</v>
      </c>
      <c r="E2" s="7" t="s">
        <v>7</v>
      </c>
      <c r="F2" t="s">
        <v>53</v>
      </c>
      <c r="G2" s="1" t="s">
        <v>74</v>
      </c>
      <c r="H2" s="4" t="s">
        <v>59</v>
      </c>
      <c r="I2">
        <f t="shared" ref="I2:I19" si="0">D2*5</f>
        <v>15</v>
      </c>
      <c r="J2">
        <v>4.1000000000000002E-2</v>
      </c>
      <c r="K2">
        <f t="shared" ref="K2:K4" si="1">J2*I2</f>
        <v>0.61499999999999999</v>
      </c>
    </row>
    <row r="3" spans="1:12" x14ac:dyDescent="0.25">
      <c r="A3">
        <v>3</v>
      </c>
      <c r="B3" t="s">
        <v>8</v>
      </c>
      <c r="C3" t="s">
        <v>6</v>
      </c>
      <c r="D3">
        <v>2</v>
      </c>
      <c r="E3" s="7" t="s">
        <v>9</v>
      </c>
      <c r="F3" t="s">
        <v>53</v>
      </c>
      <c r="G3" s="1" t="s">
        <v>75</v>
      </c>
      <c r="H3" s="4" t="s">
        <v>60</v>
      </c>
      <c r="I3">
        <f t="shared" si="0"/>
        <v>10</v>
      </c>
      <c r="J3">
        <v>2.9000000000000001E-2</v>
      </c>
      <c r="K3">
        <f t="shared" si="1"/>
        <v>0.29000000000000004</v>
      </c>
    </row>
    <row r="4" spans="1:12" x14ac:dyDescent="0.25">
      <c r="A4">
        <v>4</v>
      </c>
      <c r="B4" t="s">
        <v>10</v>
      </c>
      <c r="C4" t="s">
        <v>6</v>
      </c>
      <c r="D4">
        <v>1</v>
      </c>
      <c r="E4" s="7" t="s">
        <v>11</v>
      </c>
      <c r="F4" t="s">
        <v>53</v>
      </c>
      <c r="G4" s="1" t="s">
        <v>76</v>
      </c>
      <c r="H4" s="4" t="s">
        <v>61</v>
      </c>
      <c r="I4">
        <f t="shared" si="0"/>
        <v>5</v>
      </c>
      <c r="J4">
        <v>0.11</v>
      </c>
      <c r="K4">
        <f t="shared" si="1"/>
        <v>0.55000000000000004</v>
      </c>
    </row>
    <row r="5" spans="1:12" x14ac:dyDescent="0.25">
      <c r="A5">
        <v>5</v>
      </c>
      <c r="B5" t="s">
        <v>12</v>
      </c>
      <c r="C5" t="s">
        <v>6</v>
      </c>
      <c r="D5">
        <v>2</v>
      </c>
      <c r="E5" s="7" t="s">
        <v>13</v>
      </c>
      <c r="F5" t="s">
        <v>53</v>
      </c>
      <c r="G5" s="1" t="s">
        <v>77</v>
      </c>
      <c r="H5" s="4" t="s">
        <v>62</v>
      </c>
      <c r="I5">
        <f t="shared" si="0"/>
        <v>10</v>
      </c>
      <c r="J5">
        <v>2.1000000000000001E-2</v>
      </c>
      <c r="K5">
        <f>J5*I5</f>
        <v>0.21000000000000002</v>
      </c>
    </row>
    <row r="6" spans="1:12" x14ac:dyDescent="0.25">
      <c r="A6">
        <v>6</v>
      </c>
      <c r="B6" t="s">
        <v>14</v>
      </c>
      <c r="C6" t="s">
        <v>15</v>
      </c>
      <c r="D6">
        <v>1</v>
      </c>
      <c r="E6" s="7" t="s">
        <v>16</v>
      </c>
      <c r="F6" t="s">
        <v>53</v>
      </c>
      <c r="G6" s="1" t="s">
        <v>78</v>
      </c>
      <c r="H6" s="4" t="s">
        <v>63</v>
      </c>
      <c r="I6">
        <f t="shared" si="0"/>
        <v>5</v>
      </c>
      <c r="J6">
        <v>0.14000000000000001</v>
      </c>
      <c r="K6">
        <f>J6*I6</f>
        <v>0.70000000000000007</v>
      </c>
    </row>
    <row r="7" spans="1:12" x14ac:dyDescent="0.25">
      <c r="A7">
        <v>7</v>
      </c>
      <c r="B7" t="s">
        <v>17</v>
      </c>
      <c r="C7" t="s">
        <v>15</v>
      </c>
      <c r="D7">
        <v>3</v>
      </c>
      <c r="E7" s="7" t="s">
        <v>16</v>
      </c>
      <c r="F7" t="s">
        <v>53</v>
      </c>
      <c r="G7" s="1" t="s">
        <v>78</v>
      </c>
      <c r="H7" s="4" t="s">
        <v>63</v>
      </c>
      <c r="I7">
        <f t="shared" si="0"/>
        <v>15</v>
      </c>
      <c r="J7">
        <v>0.14000000000000001</v>
      </c>
      <c r="K7">
        <f>J7*I7</f>
        <v>2.1</v>
      </c>
    </row>
    <row r="8" spans="1:12" x14ac:dyDescent="0.25">
      <c r="A8">
        <v>8</v>
      </c>
      <c r="B8" t="s">
        <v>18</v>
      </c>
      <c r="C8" t="s">
        <v>19</v>
      </c>
      <c r="D8">
        <v>1</v>
      </c>
      <c r="E8" s="7" t="s">
        <v>20</v>
      </c>
      <c r="F8" t="s">
        <v>53</v>
      </c>
      <c r="G8" s="1" t="s">
        <v>79</v>
      </c>
      <c r="H8" s="3" t="s">
        <v>64</v>
      </c>
      <c r="I8">
        <f t="shared" si="0"/>
        <v>5</v>
      </c>
      <c r="J8">
        <v>0.28000000000000003</v>
      </c>
      <c r="K8">
        <v>1.39</v>
      </c>
    </row>
    <row r="9" spans="1:12" x14ac:dyDescent="0.25">
      <c r="A9">
        <v>11</v>
      </c>
      <c r="B9" t="s">
        <v>21</v>
      </c>
      <c r="C9" t="s">
        <v>22</v>
      </c>
      <c r="D9">
        <v>1</v>
      </c>
      <c r="E9" s="7" t="s">
        <v>23</v>
      </c>
      <c r="F9" t="s">
        <v>53</v>
      </c>
      <c r="G9" s="1" t="s">
        <v>80</v>
      </c>
      <c r="H9" s="6" t="s">
        <v>73</v>
      </c>
      <c r="I9">
        <v>5</v>
      </c>
      <c r="J9">
        <v>3.02</v>
      </c>
      <c r="K9">
        <f t="shared" ref="K9:K15" si="2">J9*I9</f>
        <v>15.1</v>
      </c>
    </row>
    <row r="10" spans="1:12" s="7" customFormat="1" x14ac:dyDescent="0.25">
      <c r="A10" s="7">
        <v>12</v>
      </c>
      <c r="B10" s="7" t="s">
        <v>24</v>
      </c>
      <c r="C10" s="7" t="s">
        <v>25</v>
      </c>
      <c r="D10" s="7">
        <v>1</v>
      </c>
      <c r="E10" s="7" t="s">
        <v>26</v>
      </c>
      <c r="F10" s="7" t="s">
        <v>53</v>
      </c>
      <c r="G10" s="9" t="s">
        <v>82</v>
      </c>
      <c r="H10" s="8" t="s">
        <v>81</v>
      </c>
      <c r="I10" s="7">
        <v>1</v>
      </c>
      <c r="J10" s="7">
        <v>0.21490000000000001</v>
      </c>
      <c r="K10" s="7">
        <f t="shared" si="2"/>
        <v>0.21490000000000001</v>
      </c>
      <c r="L10" s="10"/>
    </row>
    <row r="11" spans="1:12" x14ac:dyDescent="0.25">
      <c r="A11">
        <v>19</v>
      </c>
      <c r="B11" t="s">
        <v>27</v>
      </c>
      <c r="C11" t="s">
        <v>28</v>
      </c>
      <c r="D11">
        <v>9</v>
      </c>
      <c r="E11" s="7" t="s">
        <v>55</v>
      </c>
      <c r="F11" t="s">
        <v>53</v>
      </c>
      <c r="G11" s="1" t="s">
        <v>83</v>
      </c>
      <c r="H11" s="4" t="s">
        <v>65</v>
      </c>
      <c r="I11">
        <f t="shared" si="0"/>
        <v>45</v>
      </c>
      <c r="J11">
        <v>1.2999999999999999E-2</v>
      </c>
      <c r="K11">
        <f t="shared" si="2"/>
        <v>0.58499999999999996</v>
      </c>
    </row>
    <row r="12" spans="1:12" x14ac:dyDescent="0.25">
      <c r="A12">
        <v>20</v>
      </c>
      <c r="B12" t="s">
        <v>29</v>
      </c>
      <c r="C12" t="s">
        <v>28</v>
      </c>
      <c r="D12">
        <v>3</v>
      </c>
      <c r="E12" s="7" t="s">
        <v>56</v>
      </c>
      <c r="F12" t="s">
        <v>53</v>
      </c>
      <c r="G12" s="1" t="s">
        <v>84</v>
      </c>
      <c r="H12" s="3" t="s">
        <v>66</v>
      </c>
      <c r="I12">
        <f t="shared" si="0"/>
        <v>15</v>
      </c>
      <c r="J12">
        <v>1.2999999999999999E-2</v>
      </c>
      <c r="K12">
        <f t="shared" si="2"/>
        <v>0.19499999999999998</v>
      </c>
    </row>
    <row r="13" spans="1:12" x14ac:dyDescent="0.25">
      <c r="A13">
        <v>21</v>
      </c>
      <c r="B13" t="s">
        <v>30</v>
      </c>
      <c r="C13" t="s">
        <v>28</v>
      </c>
      <c r="D13">
        <v>12</v>
      </c>
      <c r="E13" s="7" t="s">
        <v>54</v>
      </c>
      <c r="F13" t="s">
        <v>53</v>
      </c>
      <c r="G13" s="1" t="s">
        <v>85</v>
      </c>
      <c r="H13" s="4" t="s">
        <v>67</v>
      </c>
      <c r="I13">
        <f t="shared" si="0"/>
        <v>60</v>
      </c>
      <c r="J13">
        <v>0.1</v>
      </c>
      <c r="K13">
        <f t="shared" si="2"/>
        <v>6</v>
      </c>
    </row>
    <row r="14" spans="1:12" x14ac:dyDescent="0.25">
      <c r="A14">
        <v>22</v>
      </c>
      <c r="B14" t="s">
        <v>31</v>
      </c>
      <c r="C14" t="s">
        <v>32</v>
      </c>
      <c r="D14">
        <v>2</v>
      </c>
      <c r="E14" s="7" t="s">
        <v>33</v>
      </c>
      <c r="F14" t="s">
        <v>53</v>
      </c>
      <c r="G14" s="1" t="s">
        <v>86</v>
      </c>
      <c r="H14" s="3" t="s">
        <v>68</v>
      </c>
      <c r="I14">
        <f t="shared" si="0"/>
        <v>10</v>
      </c>
      <c r="J14">
        <v>0.92</v>
      </c>
      <c r="K14">
        <f t="shared" si="2"/>
        <v>9.2000000000000011</v>
      </c>
    </row>
    <row r="15" spans="1:12" x14ac:dyDescent="0.25">
      <c r="A15">
        <v>23</v>
      </c>
      <c r="B15" t="s">
        <v>34</v>
      </c>
      <c r="C15" t="s">
        <v>35</v>
      </c>
      <c r="D15">
        <v>1</v>
      </c>
      <c r="E15" s="7" t="s">
        <v>36</v>
      </c>
      <c r="F15" t="s">
        <v>53</v>
      </c>
      <c r="G15" s="1" t="s">
        <v>87</v>
      </c>
      <c r="H15" s="3" t="s">
        <v>69</v>
      </c>
      <c r="I15">
        <f t="shared" si="0"/>
        <v>5</v>
      </c>
      <c r="J15">
        <v>0.51</v>
      </c>
      <c r="K15">
        <f t="shared" si="2"/>
        <v>2.5499999999999998</v>
      </c>
    </row>
    <row r="16" spans="1:12" x14ac:dyDescent="0.25">
      <c r="A16">
        <v>24</v>
      </c>
      <c r="B16" t="s">
        <v>37</v>
      </c>
      <c r="C16" t="s">
        <v>38</v>
      </c>
      <c r="D16">
        <v>1</v>
      </c>
      <c r="E16" s="7" t="s">
        <v>39</v>
      </c>
      <c r="F16" t="s">
        <v>53</v>
      </c>
      <c r="G16" s="1" t="s">
        <v>88</v>
      </c>
      <c r="H16" s="3" t="s">
        <v>71</v>
      </c>
      <c r="I16">
        <f t="shared" si="0"/>
        <v>5</v>
      </c>
      <c r="J16">
        <v>0.23</v>
      </c>
      <c r="K16">
        <v>1.1499999999999999</v>
      </c>
    </row>
    <row r="17" spans="1:11" x14ac:dyDescent="0.25">
      <c r="A17">
        <v>25</v>
      </c>
      <c r="B17" t="s">
        <v>40</v>
      </c>
      <c r="C17" t="s">
        <v>41</v>
      </c>
      <c r="D17">
        <v>1</v>
      </c>
      <c r="E17" s="7" t="s">
        <v>42</v>
      </c>
      <c r="F17" t="s">
        <v>53</v>
      </c>
      <c r="G17" s="1" t="s">
        <v>89</v>
      </c>
      <c r="H17" s="4" t="s">
        <v>90</v>
      </c>
      <c r="I17">
        <f t="shared" si="0"/>
        <v>5</v>
      </c>
      <c r="J17">
        <v>7.74</v>
      </c>
      <c r="K17">
        <v>38.700000000000003</v>
      </c>
    </row>
    <row r="18" spans="1:11" x14ac:dyDescent="0.25">
      <c r="A18">
        <v>26</v>
      </c>
      <c r="B18" t="s">
        <v>43</v>
      </c>
      <c r="C18" t="s">
        <v>44</v>
      </c>
      <c r="D18">
        <v>1</v>
      </c>
      <c r="E18" s="7" t="s">
        <v>45</v>
      </c>
      <c r="F18" t="s">
        <v>53</v>
      </c>
      <c r="G18" s="1" t="s">
        <v>91</v>
      </c>
      <c r="H18" s="3" t="s">
        <v>72</v>
      </c>
      <c r="I18">
        <f t="shared" si="0"/>
        <v>5</v>
      </c>
      <c r="J18">
        <v>1.64</v>
      </c>
      <c r="K18">
        <v>8.1999999999999993</v>
      </c>
    </row>
    <row r="19" spans="1:11" x14ac:dyDescent="0.25">
      <c r="A19">
        <v>27</v>
      </c>
      <c r="B19" t="s">
        <v>46</v>
      </c>
      <c r="C19" t="s">
        <v>47</v>
      </c>
      <c r="D19">
        <v>2</v>
      </c>
      <c r="E19" s="7" t="s">
        <v>47</v>
      </c>
      <c r="F19" t="s">
        <v>53</v>
      </c>
      <c r="G19" s="1" t="s">
        <v>92</v>
      </c>
      <c r="H19" s="3" t="s">
        <v>70</v>
      </c>
      <c r="I19">
        <f t="shared" si="0"/>
        <v>10</v>
      </c>
      <c r="J19">
        <v>0.12</v>
      </c>
      <c r="K19">
        <f>J19*I19</f>
        <v>1.2</v>
      </c>
    </row>
    <row r="20" spans="1:11" ht="15.75" x14ac:dyDescent="0.25">
      <c r="H20" s="5"/>
    </row>
    <row r="21" spans="1:11" ht="15.75" thickBot="1" x14ac:dyDescent="0.3">
      <c r="H21" s="12" t="s">
        <v>58</v>
      </c>
      <c r="I21" s="11">
        <f>SUM(I2:I19)</f>
        <v>231</v>
      </c>
      <c r="J21" s="11">
        <f t="shared" ref="J21:K21" si="3">SUM(J2:J19)</f>
        <v>15.2819</v>
      </c>
      <c r="K21" s="11">
        <f t="shared" si="3"/>
        <v>88.949900000000014</v>
      </c>
    </row>
    <row r="22" spans="1:11" ht="15.75" thickTop="1" x14ac:dyDescent="0.25"/>
  </sheetData>
  <hyperlinks>
    <hyperlink ref="G2" r:id="rId1" xr:uid="{3EB8BC7B-16D9-4AD7-AF74-7451A70570DD}"/>
    <hyperlink ref="G10" r:id="rId2" xr:uid="{C049D34B-57EA-47A3-BBA9-C6219D9D9902}"/>
  </hyperlinks>
  <pageMargins left="0.7" right="0.7" top="0.75" bottom="0.75" header="0.3" footer="0.3"/>
  <pageSetup paperSize="9" orientation="portrait" horizontalDpi="4294967292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MAX30102_Pulse Oximeter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Shekhar Singh</cp:lastModifiedBy>
  <dcterms:created xsi:type="dcterms:W3CDTF">2020-09-28T10:31:54Z</dcterms:created>
  <dcterms:modified xsi:type="dcterms:W3CDTF">2020-09-28T15:08:54Z</dcterms:modified>
</cp:coreProperties>
</file>